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Перечень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DIN Condensed"/>
      <charset val="1"/>
      <family val="0"/>
      <b val="1"/>
      <color rgb="FFFFFFFF"/>
      <sz val="12"/>
    </font>
    <font>
      <name val="DIN Condensed"/>
      <charset val="1"/>
      <family val="0"/>
      <color rgb="FFFFFFFF"/>
      <sz val="12"/>
    </font>
    <font>
      <name val="DIN Condensed"/>
      <charset val="1"/>
      <family val="0"/>
      <b val="1"/>
      <color rgb="FF000000"/>
      <sz val="12"/>
    </font>
    <font>
      <name val="DIN Condensed"/>
      <charset val="1"/>
      <family val="0"/>
      <color rgb="FFFFFFFF"/>
      <sz val="11"/>
    </font>
    <font>
      <name val="Arial"/>
      <charset val="1"/>
      <family val="2"/>
      <color rgb="FFFFFFFF"/>
      <sz val="10"/>
    </font>
    <font>
      <name val="DIN Alternate"/>
      <charset val="1"/>
      <family val="0"/>
      <color rgb="FF000000"/>
      <sz val="11"/>
    </font>
    <font>
      <name val="DIN Alternate"/>
      <charset val="1"/>
      <family val="0"/>
      <color rgb="FF000000"/>
      <sz val="10"/>
    </font>
    <font>
      <name val="DIN Alternate"/>
      <charset val="1"/>
      <family val="0"/>
      <color rgb="FF000000"/>
      <sz val="12"/>
    </font>
    <font>
      <name val="DIN Alternate"/>
      <charset val="1"/>
      <family val="0"/>
      <color rgb="FF0000FF"/>
      <sz val="10"/>
      <u val="single"/>
    </font>
    <font>
      <name val="DIN Alternate"/>
      <charset val="1"/>
      <family val="0"/>
      <sz val="10"/>
    </font>
    <font>
      <name val="DIN Alternate"/>
      <charset val="1"/>
      <family val="0"/>
      <b val="1"/>
      <color rgb="FF000000"/>
      <sz val="13"/>
    </font>
    <font>
      <name val="DIN Alternate"/>
      <color rgb="000000FF"/>
      <sz val="10"/>
      <u val="single"/>
    </font>
    <font>
      <name val="DIN Condensed"/>
      <b val="1"/>
      <color rgb="00000000"/>
      <sz val="12"/>
    </font>
    <font>
      <name val="DIN Alternate"/>
      <b val="1"/>
      <color rgb="00000000"/>
      <sz val="13"/>
    </font>
  </fonts>
  <fills count="10">
    <fill>
      <patternFill/>
    </fill>
    <fill>
      <patternFill patternType="gray125"/>
    </fill>
    <fill>
      <patternFill patternType="solid">
        <fgColor rgb="FFFFFFFF"/>
        <bgColor rgb="FFF3F6FA"/>
      </patternFill>
    </fill>
    <fill>
      <patternFill patternType="solid">
        <fgColor rgb="FF000000"/>
        <bgColor rgb="FF003300"/>
      </patternFill>
    </fill>
    <fill>
      <patternFill patternType="solid">
        <fgColor rgb="FFF6F9D4"/>
        <bgColor rgb="FFEEEEEE"/>
      </patternFill>
    </fill>
    <fill>
      <patternFill patternType="solid">
        <fgColor rgb="FFEEEEEE"/>
        <bgColor rgb="FFF3F6FA"/>
      </patternFill>
    </fill>
    <fill>
      <patternFill patternType="solid">
        <fgColor rgb="FFF3F6FA"/>
        <bgColor rgb="FFEEEEEE"/>
      </patternFill>
    </fill>
    <fill>
      <patternFill patternType="solid">
        <fgColor rgb="FFE8F2A1"/>
        <bgColor rgb="FFF6F9D4"/>
      </patternFill>
    </fill>
    <fill>
      <patternFill patternType="solid">
        <fgColor rgb="00F6F9D4"/>
        <bgColor rgb="00F6F9D4"/>
      </patternFill>
    </fill>
    <fill>
      <patternFill patternType="solid">
        <fgColor rgb="00EEEEEE"/>
        <bgColor rgb="00EEEEEE"/>
      </patternFill>
    </fill>
  </fills>
  <borders count="17">
    <border>
      <left/>
      <right/>
      <top/>
      <bottom/>
      <diagonal/>
    </border>
    <border>
      <left style="thin">
        <color rgb="FFB3CAC7"/>
      </left>
      <right style="thin">
        <color rgb="FFB3CAC7"/>
      </right>
      <top style="thin">
        <color rgb="FFB3CAC7"/>
      </top>
      <bottom style="thin">
        <color rgb="FFB3CAC7"/>
      </bottom>
      <diagonal/>
    </border>
    <border>
      <left style="thin">
        <color rgb="FFB3CAC7"/>
      </left>
      <right style="thin">
        <color rgb="FFB3CAC7"/>
      </right>
      <top/>
      <bottom style="thin">
        <color rgb="FFB3CAC7"/>
      </bottom>
      <diagonal/>
    </border>
    <border>
      <left style="thin"/>
      <right style="thin"/>
      <top style="thin"/>
      <bottom style="thin"/>
      <diagonal/>
    </border>
    <border>
      <left style="thin">
        <color rgb="FFB3CAC7"/>
      </left>
      <right/>
      <top/>
      <bottom/>
      <diagonal/>
    </border>
    <border>
      <left style="thin">
        <color rgb="FFB3CAC7"/>
      </left>
      <right style="thin">
        <color rgb="FFB3CAC7"/>
      </right>
      <top/>
      <bottom/>
      <diagonal/>
    </border>
    <border>
      <left/>
      <right/>
      <top style="thin">
        <color rgb="FFB3CAC7"/>
      </top>
      <bottom/>
      <diagonal/>
    </border>
    <border>
      <left/>
      <right style="thin">
        <color rgb="FFB3CAC7"/>
      </right>
      <top style="thin">
        <color rgb="FFB3CAC7"/>
      </top>
      <bottom/>
      <diagonal/>
    </border>
    <border>
      <left/>
      <right/>
      <top style="thin">
        <color rgb="FFB3CAC7"/>
      </top>
      <bottom style="thin">
        <color rgb="FFB3CAC7"/>
      </bottom>
      <diagonal/>
    </border>
    <border>
      <left/>
      <right style="thin">
        <color rgb="FFB3CAC7"/>
      </right>
      <top style="thin">
        <color rgb="FFB3CAC7"/>
      </top>
      <bottom style="thin">
        <color rgb="FFB3CAC7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left" vertical="center" wrapText="1" indent="1"/>
    </xf>
    <xf numFmtId="0" fontId="12" fillId="2" borderId="3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wrapText="1" indent="1"/>
    </xf>
    <xf numFmtId="0" fontId="13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 indent="1"/>
    </xf>
    <xf numFmtId="0" fontId="13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bottom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left" vertical="center" wrapText="1" indent="1"/>
    </xf>
    <xf numFmtId="0" fontId="12" fillId="6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center"/>
    </xf>
    <xf numFmtId="0" fontId="15" fillId="7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left" vertical="center" wrapText="1" indent="1"/>
    </xf>
    <xf numFmtId="0" fontId="12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wrapText="1" indent="1"/>
    </xf>
    <xf numFmtId="0" fontId="16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12" fillId="0" borderId="3" applyAlignment="1" pivotButton="0" quotePrefix="0" xfId="0">
      <alignment horizontal="left" vertical="center" wrapText="1" indent="1"/>
    </xf>
    <xf numFmtId="0" fontId="16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0" fillId="0" borderId="12" pivotButton="0" quotePrefix="0" xfId="0"/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bottom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left" vertical="center" wrapText="1" indent="1"/>
    </xf>
    <xf numFmtId="0" fontId="12" fillId="8" borderId="3" applyAlignment="1" pivotButton="0" quotePrefix="0" xfId="0">
      <alignment horizontal="center" vertical="center" wrapText="1"/>
    </xf>
    <xf numFmtId="0" fontId="16" fillId="8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wrapText="1" indent="1"/>
    </xf>
    <xf numFmtId="0" fontId="16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 indent="1"/>
    </xf>
    <xf numFmtId="0" fontId="16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bottom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left" vertical="center" wrapText="1" indent="1"/>
    </xf>
    <xf numFmtId="0" fontId="12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7" fillId="6" borderId="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18" fillId="9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right" vertical="center"/>
    </xf>
    <xf numFmtId="0" fontId="13" fillId="5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15" fillId="7" borderId="3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6F9D4"/>
      <rgbColor rgb="FFF3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file:///Users/user/projects/Danila master/partsops-ai-manager/storage/evidence/default/REQ-LIVE-20260805/sup_exist_34116852253_orig.png" TargetMode="External" Id="rId1" /><Relationship Type="http://schemas.openxmlformats.org/officeDocument/2006/relationships/hyperlink" Target="file:///Users/user/projects/Danila master/partsops-ai-manager/storage/evidence/default/REQ-LIVE-20260805/sup_autodoc_34116852253_orig.png" TargetMode="External" Id="rId2" /><Relationship Type="http://schemas.openxmlformats.org/officeDocument/2006/relationships/hyperlink" Target="file:///Users/user/projects/Danila master/partsops-ai-manager/storage/evidence/default/REQ-LIVE-20260805/sup_rossko_34116852253_orig.png" TargetMode="External" Id="rId3" /><Relationship Type="http://schemas.openxmlformats.org/officeDocument/2006/relationships/hyperlink" Target="file:///Users/user/projects/Danila master/partsops-ai-manager/storage/evidence/default/REQ-LIVE-20260805/sup_exist_GDB1622_analog_GDB1622.png" TargetMode="External" Id="rId4" /><Relationship Type="http://schemas.openxmlformats.org/officeDocument/2006/relationships/hyperlink" Target="file:///Users/user/projects/Danila master/partsops-ai-manager/storage/evidence/default/REQ-LIVE-20260805/sup_autodoc_GDB1622_analog_GDB1622.png" TargetMode="External" Id="rId5" /><Relationship Type="http://schemas.openxmlformats.org/officeDocument/2006/relationships/hyperlink" Target="file:///Users/user/projects/Danila master/partsops-ai-manager/storage/evidence/default/REQ-LIVE-20260805/sup_rossko_GDB1622_analog_GDB1622.png" TargetMode="External" Id="rId6" /><Relationship Type="http://schemas.openxmlformats.org/officeDocument/2006/relationships/hyperlink" Target="file:///Users/user/projects/Danila master/partsops-ai-manager/storage/evidence/default/REQ-LIVE-20260805/sup_exist_13046072682_analog_13046072682.png" TargetMode="External" Id="rId7" /><Relationship Type="http://schemas.openxmlformats.org/officeDocument/2006/relationships/hyperlink" Target="file:///Users/user/projects/Danila master/partsops-ai-manager/storage/evidence/default/REQ-LIVE-20260805/sup_autodoc_13046072682_analog_13046072682.png" TargetMode="External" Id="rId8" /><Relationship Type="http://schemas.openxmlformats.org/officeDocument/2006/relationships/hyperlink" Target="file:///Users/user/projects/Danila master/partsops-ai-manager/storage/evidence/default/REQ-LIVE-20260805/sup_rossko_13046072682_analog_13046072682.png" TargetMode="External" Id="rId9" /><Relationship Type="http://schemas.openxmlformats.org/officeDocument/2006/relationships/hyperlink" Target="file:///Users/user/projects/Danila master/partsops-ai-manager/storage/evidence/default/REQ-LIVE-20260805/sup_exist_P06049_analog_P06049.png" TargetMode="External" Id="rId10" /><Relationship Type="http://schemas.openxmlformats.org/officeDocument/2006/relationships/hyperlink" Target="file:///Users/user/projects/Danila master/partsops-ai-manager/storage/evidence/default/REQ-LIVE-20260805/sup_autodoc_P06049_analog_P06049.png" TargetMode="External" Id="rId11" /><Relationship Type="http://schemas.openxmlformats.org/officeDocument/2006/relationships/hyperlink" Target="file:///Users/user/projects/Danila master/partsops-ai-manager/storage/evidence/default/REQ-LIVE-20260805/sup_rossko_P06049_analog_P06049.png" TargetMode="External" Id="rId12" /><Relationship Type="http://schemas.openxmlformats.org/officeDocument/2006/relationships/hyperlink" Target="file:///Users/user/projects/Danila master/partsops-ai-manager/storage/evidence/default/REQ-LIVE-20260805/sup_exist_0446533471_orig.png" TargetMode="External" Id="rId13" /><Relationship Type="http://schemas.openxmlformats.org/officeDocument/2006/relationships/hyperlink" Target="file:///Users/user/projects/Danila master/partsops-ai-manager/storage/evidence/default/REQ-LIVE-20260805/sup_autodoc_0446533471_orig.png" TargetMode="External" Id="rId14" /><Relationship Type="http://schemas.openxmlformats.org/officeDocument/2006/relationships/hyperlink" Target="file:///Users/user/projects/Danila master/partsops-ai-manager/storage/evidence/default/REQ-LIVE-20260805/sup_rossko_0446533471_orig.png" TargetMode="External" Id="rId15" /><Relationship Type="http://schemas.openxmlformats.org/officeDocument/2006/relationships/hyperlink" Target="file:///Users/user/projects/Danila master/partsops-ai-manager/storage/evidence/default/REQ-LIVE-20260805/sup_exist_AN654K_analog_AN654K.png" TargetMode="External" Id="rId16" /><Relationship Type="http://schemas.openxmlformats.org/officeDocument/2006/relationships/hyperlink" Target="file:///Users/user/projects/Danila master/partsops-ai-manager/storage/evidence/default/REQ-LIVE-20260805/sup_autodoc_AN654K_analog_AN654K.png" TargetMode="External" Id="rId17" /><Relationship Type="http://schemas.openxmlformats.org/officeDocument/2006/relationships/hyperlink" Target="file:///Users/user/projects/Danila master/partsops-ai-manager/storage/evidence/default/REQ-LIVE-20260805/sup_rossko_AN654K_analog_AN654K.png" TargetMode="External" Id="rId18" /><Relationship Type="http://schemas.openxmlformats.org/officeDocument/2006/relationships/hyperlink" Target="file:///Users/user/projects/Danila master/partsops-ai-manager/storage/evidence/default/REQ-LIVE-20260805/sup_exist_PN1522_analog_PN1522.png" TargetMode="External" Id="rId19" /><Relationship Type="http://schemas.openxmlformats.org/officeDocument/2006/relationships/hyperlink" Target="file:///Users/user/projects/Danila master/partsops-ai-manager/storage/evidence/default/REQ-LIVE-20260805/sup_autodoc_PN1522_analog_PN1522.png" TargetMode="External" Id="rId20" /><Relationship Type="http://schemas.openxmlformats.org/officeDocument/2006/relationships/hyperlink" Target="file:///Users/user/projects/Danila master/partsops-ai-manager/storage/evidence/default/REQ-LIVE-20260805/sup_rossko_PN1522_analog_PN1522.png" TargetMode="External" Id="rId21" /><Relationship Type="http://schemas.openxmlformats.org/officeDocument/2006/relationships/hyperlink" Target="file:///Users/user/projects/Danila master/partsops-ai-manager/storage/evidence/default/REQ-LIVE-20260805/sup_exist_D2227_analog_D2227.png" TargetMode="External" Id="rId22" /><Relationship Type="http://schemas.openxmlformats.org/officeDocument/2006/relationships/hyperlink" Target="file:///Users/user/projects/Danila master/partsops-ai-manager/storage/evidence/default/REQ-LIVE-20260805/sup_autodoc_D2227_analog_D2227.png" TargetMode="External" Id="rId23" /><Relationship Type="http://schemas.openxmlformats.org/officeDocument/2006/relationships/hyperlink" Target="file:///Users/user/projects/Danila master/partsops-ai-manager/storage/evidence/default/REQ-LIVE-20260805/sup_rossko_D2227_analog_D2227.png" TargetMode="External" Id="rId24" /><Relationship Type="http://schemas.openxmlformats.org/officeDocument/2006/relationships/hyperlink" Target="file:///Users/user/projects/Danila master/partsops-ai-manager/storage/evidence/default/REQ-LIVE-20260805/sup_exist_90915YZZD4_orig.png" TargetMode="External" Id="rId25" /><Relationship Type="http://schemas.openxmlformats.org/officeDocument/2006/relationships/hyperlink" Target="file:///Users/user/projects/Danila master/partsops-ai-manager/storage/evidence/default/REQ-LIVE-20260805/sup_autodoc_90915YZZD4_orig.png" TargetMode="External" Id="rId26" /><Relationship Type="http://schemas.openxmlformats.org/officeDocument/2006/relationships/hyperlink" Target="file:///Users/user/projects/Danila master/partsops-ai-manager/storage/evidence/default/REQ-LIVE-20260805/sup_rossko_90915YZZD4_orig.png" TargetMode="External" Id="rId27" /><Relationship Type="http://schemas.openxmlformats.org/officeDocument/2006/relationships/hyperlink" Target="file:///Users/user/projects/Danila master/partsops-ai-manager/storage/evidence/default/REQ-LIVE-20260805/sup_exist_W683_analog_W683.png" TargetMode="External" Id="rId28" /><Relationship Type="http://schemas.openxmlformats.org/officeDocument/2006/relationships/hyperlink" Target="file:///Users/user/projects/Danila master/partsops-ai-manager/storage/evidence/default/REQ-LIVE-20260805/sup_autodoc_W683_analog_W683.png" TargetMode="External" Id="rId29" /><Relationship Type="http://schemas.openxmlformats.org/officeDocument/2006/relationships/hyperlink" Target="file:///Users/user/projects/Danila master/partsops-ai-manager/storage/evidence/default/REQ-LIVE-20260805/sup_rossko_W683_analog_W683.png" TargetMode="External" Id="rId30" /><Relationship Type="http://schemas.openxmlformats.org/officeDocument/2006/relationships/hyperlink" Target="file:///Users/user/projects/Danila master/partsops-ai-manager/storage/evidence/default/REQ-LIVE-20260805/sup_exist_C110_analog_C110.png" TargetMode="External" Id="rId31" /><Relationship Type="http://schemas.openxmlformats.org/officeDocument/2006/relationships/hyperlink" Target="file:///Users/user/projects/Danila master/partsops-ai-manager/storage/evidence/default/REQ-LIVE-20260805/sup_autodoc_C110_analog_C110.png" TargetMode="External" Id="rId32" /><Relationship Type="http://schemas.openxmlformats.org/officeDocument/2006/relationships/hyperlink" Target="file:///Users/user/projects/Danila master/partsops-ai-manager/storage/evidence/default/REQ-LIVE-20260805/sup_rossko_C110_analog_C110.png" TargetMode="External" Id="rId33" /><Relationship Type="http://schemas.openxmlformats.org/officeDocument/2006/relationships/hyperlink" Target="file:///Users/user/projects/Danila master/partsops-ai-manager/storage/evidence/default/REQ-LIVE-20260805/sup_exist_OP570_analog_OP570.png" TargetMode="External" Id="rId34" /><Relationship Type="http://schemas.openxmlformats.org/officeDocument/2006/relationships/hyperlink" Target="file:///Users/user/projects/Danila master/partsops-ai-manager/storage/evidence/default/REQ-LIVE-20260805/sup_autodoc_OP570_analog_OP570.png" TargetMode="External" Id="rId35" /><Relationship Type="http://schemas.openxmlformats.org/officeDocument/2006/relationships/hyperlink" Target="file:///Users/user/projects/Danila master/partsops-ai-manager/storage/evidence/default/REQ-LIVE-20260805/sup_rossko_OP570_analog_OP570.png" TargetMode="External" Id="rId36" /><Relationship Type="http://schemas.openxmlformats.org/officeDocument/2006/relationships/hyperlink" Target="../projects/Danila%20master/partsops-ai-manager/artifacts/screenshots/sup_exist_ATE-04E115561H.png" TargetMode="External" Id="rId37" /><Relationship Type="http://schemas.openxmlformats.org/officeDocument/2006/relationships/hyperlink" Target="../projects/Danila%20master/partsops-ai-manager/artifacts/screenshots/sup_autodoc_ATE-04E115561H.png" TargetMode="External" Id="rId38" /><Relationship Type="http://schemas.openxmlformats.org/officeDocument/2006/relationships/hyperlink" Target="../projects/Danila%20master/partsops-ai-manager/artifacts/screenshots/sup_rossko_ATE-04E115561H.png" TargetMode="External" Id="rId39" /><Relationship Type="http://schemas.openxmlformats.org/officeDocument/2006/relationships/hyperlink" Target="../projects/Danila%20master/partsops-ai-manager/artifacts/screenshots/sup_exist_BR-04E115561H.png" TargetMode="External" Id="rId40" /><Relationship Type="http://schemas.openxmlformats.org/officeDocument/2006/relationships/hyperlink" Target="../projects/Danila%20master/partsops-ai-manager/artifacts/screenshots/sup_autodoc_BR-04E115561H.png" TargetMode="External" Id="rId41" /><Relationship Type="http://schemas.openxmlformats.org/officeDocument/2006/relationships/hyperlink" Target="../projects/Danila%20master/partsops-ai-manager/artifacts/screenshots/sup_rossko_BR-04E115561H.png" TargetMode="External" Id="rId42" /><Relationship Type="http://schemas.openxmlformats.org/officeDocument/2006/relationships/hyperlink" Target="../projects/Danila%20master/partsops-ai-manager/artifacts/screenshots/sup_exist_BS-04E115561H.png" TargetMode="External" Id="rId43" /><Relationship Type="http://schemas.openxmlformats.org/officeDocument/2006/relationships/hyperlink" Target="../projects/Danila%20master/partsops-ai-manager/artifacts/screenshots/sup_autodoc_BS-04E115561H.png" TargetMode="External" Id="rId44" /><Relationship Type="http://schemas.openxmlformats.org/officeDocument/2006/relationships/hyperlink" Target="../projects/Danila%20master/partsops-ai-manager/artifacts/screenshots/sup_rossko_BS-04E115561H.png" TargetMode="External" Id="rId45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1"/>
  <sheetViews>
    <sheetView showFormulas="0" showGridLines="1" showRowColHeaders="1" showZeros="1" rightToLeft="0" tabSelected="1" showOutlineSymbols="1" defaultGridColor="1" view="normal" topLeftCell="D3" colorId="64" zoomScale="100" zoomScaleNormal="100" zoomScalePageLayoutView="100" workbookViewId="0">
      <selection pane="topLeft" activeCell="I25" activeCellId="0" sqref="I25"/>
    </sheetView>
  </sheetViews>
  <sheetFormatPr baseColWidth="8" defaultColWidth="8.8046875" defaultRowHeight="15" customHeight="0" zeroHeight="0" outlineLevelRow="0"/>
  <cols>
    <col width="6.25" customWidth="1" style="33" min="1" max="1"/>
    <col width="30.95" customWidth="1" style="33" min="2" max="3"/>
    <col width="17.78" customWidth="1" style="33" min="4" max="6"/>
    <col width="25.84" customWidth="1" style="33" min="7" max="7"/>
    <col width="1.51" customWidth="1" style="33" min="8" max="8"/>
    <col width="30.95" customWidth="1" style="33" min="9" max="9"/>
    <col width="17.78" customWidth="1" style="33" min="10" max="12"/>
    <col width="25.84" customWidth="1" style="33" min="13" max="13"/>
  </cols>
  <sheetData>
    <row r="1" ht="25.5" customHeight="1" s="34">
      <c r="A1" s="35" t="inlineStr">
        <is>
          <t>ОТЧЕТ О СБОРЕ ЦЕН И АНАЛОГОВ ПО ЗАПРОСУ REQ-LIVE-20260805 (Дата: 05.08.2026 18:01 UTC | Система PartsOps AI v6.0)</t>
        </is>
      </c>
    </row>
    <row r="2" ht="60" customHeight="1" s="34">
      <c r="A2" s="36" t="inlineStr">
        <is>
          <t>№
п/п</t>
        </is>
      </c>
      <c r="B2" s="36" t="inlineStr">
        <is>
          <t>Наименование
запасной части/
расходного
материала</t>
        </is>
      </c>
      <c r="C2" s="36" t="inlineStr">
        <is>
          <t>Марка и модель
ТС/каталожный
номер
оригинальной
запасной части</t>
        </is>
      </c>
      <c r="D2" s="37" t="inlineStr">
        <is>
          <t>Цена
Оригинальной
запасной части,
руб.</t>
        </is>
      </c>
      <c r="E2" s="38" t="n"/>
      <c r="F2" s="39" t="n"/>
      <c r="G2" s="36" t="inlineStr">
        <is>
          <t>Стоимость запасной
части/расходного
материала, руб.</t>
        </is>
      </c>
      <c r="H2" s="40" t="n"/>
      <c r="I2" s="37" t="inlineStr">
        <is>
          <t>Перечень
Допустимых
Аналогов</t>
        </is>
      </c>
      <c r="J2" s="37" t="inlineStr">
        <is>
          <t>Цена
допустимых
аналогов, руб.</t>
        </is>
      </c>
      <c r="K2" s="38" t="n"/>
      <c r="L2" s="39" t="n"/>
      <c r="M2" s="36" t="inlineStr">
        <is>
          <t>Стоимость запасной
части/расходного
материала*, руб.</t>
        </is>
      </c>
    </row>
    <row r="3" ht="93.75" customHeight="1" s="34">
      <c r="A3" s="41" t="n"/>
      <c r="B3" s="41" t="n"/>
      <c r="C3" s="41" t="n"/>
      <c r="D3" s="42" t="inlineStr">
        <is>
          <t>Exist.ru (ООО «Экзист.ру»)</t>
        </is>
      </c>
      <c r="E3" s="42" t="inlineStr">
        <is>
          <t>Autodoc.ru (ООО «Автодок»)</t>
        </is>
      </c>
      <c r="F3" s="42" t="inlineStr">
        <is>
          <t>Rossko.ru (ООО «Росско»)</t>
        </is>
      </c>
      <c r="G3" s="41" t="n"/>
      <c r="I3" s="41" t="n"/>
      <c r="J3" s="42" t="inlineStr">
        <is>
          <t>Exist.ru (ООО «Экзист.ру»)</t>
        </is>
      </c>
      <c r="K3" s="42" t="inlineStr">
        <is>
          <t>Autodoc.ru (ООО «Автодок»)</t>
        </is>
      </c>
      <c r="L3" s="42" t="inlineStr">
        <is>
          <t>Rossko.ru (ООО «Росско»)</t>
        </is>
      </c>
      <c r="M3" s="41" t="n"/>
    </row>
    <row r="4" ht="7.5" customFormat="1" customHeight="1" s="33">
      <c r="A4" s="43" t="n"/>
      <c r="B4" s="43" t="n"/>
      <c r="C4" s="43" t="n"/>
      <c r="D4" s="44" t="n"/>
      <c r="E4" s="44" t="n"/>
      <c r="F4" s="44" t="n"/>
      <c r="G4" s="43" t="n"/>
      <c r="I4" s="43" t="n"/>
      <c r="J4" s="44" t="n"/>
      <c r="K4" s="44" t="n"/>
      <c r="L4" s="44" t="n"/>
      <c r="M4" s="43" t="n"/>
    </row>
    <row r="5" ht="15.75" customHeight="1" s="34">
      <c r="A5" s="45" t="n">
        <v>1</v>
      </c>
      <c r="B5" s="46" t="inlineStr">
        <is>
          <t>Комплект передних тормозных колодок BMW X5</t>
        </is>
      </c>
      <c r="C5" s="47" t="inlineStr">
        <is>
          <t>34116852253</t>
        </is>
      </c>
      <c r="D5" s="48" t="n">
        <v>6200</v>
      </c>
      <c r="E5" s="48" t="n">
        <v>5950</v>
      </c>
      <c r="F5" s="48" t="n">
        <v>6100</v>
      </c>
      <c r="G5" s="49" t="n">
        <v>11900</v>
      </c>
      <c r="I5" s="50" t="inlineStr">
        <is>
          <t>TRW GDB1622</t>
        </is>
      </c>
      <c r="J5" s="51" t="n">
        <v>4300</v>
      </c>
      <c r="K5" s="51" t="n">
        <v>4150</v>
      </c>
      <c r="L5" s="51" t="n">
        <v>3950</v>
      </c>
      <c r="M5" s="52" t="n">
        <v>7900</v>
      </c>
    </row>
    <row r="6" ht="16.5" customHeight="1" s="34">
      <c r="A6" s="53" t="n"/>
      <c r="B6" s="53" t="n"/>
      <c r="C6" s="53" t="n"/>
      <c r="D6" s="53" t="n"/>
      <c r="E6" s="53" t="n"/>
      <c r="F6" s="53" t="n"/>
      <c r="G6" s="53" t="n"/>
      <c r="I6" s="54" t="inlineStr">
        <is>
          <t>ATE 13.0460-7268.2</t>
        </is>
      </c>
      <c r="J6" s="55" t="n">
        <v>4300</v>
      </c>
      <c r="K6" s="55" t="n">
        <v>4400</v>
      </c>
      <c r="L6" s="55" t="n">
        <v>4200</v>
      </c>
      <c r="M6" s="56" t="n">
        <v>8400</v>
      </c>
    </row>
    <row r="7" ht="15.75" customHeight="1" s="34">
      <c r="A7" s="57" t="n"/>
      <c r="B7" s="57" t="n"/>
      <c r="C7" s="57" t="n"/>
      <c r="D7" s="57" t="n"/>
      <c r="E7" s="57" t="n"/>
      <c r="F7" s="57" t="n"/>
      <c r="G7" s="57" t="n"/>
      <c r="I7" s="50" t="inlineStr">
        <is>
          <t>Brembo P 06 049</t>
        </is>
      </c>
      <c r="J7" s="51" t="n">
        <v>4250</v>
      </c>
      <c r="K7" s="51" t="n">
        <v>4150</v>
      </c>
      <c r="L7" s="51" t="n">
        <v>4150</v>
      </c>
      <c r="M7" s="52" t="n">
        <v>8300</v>
      </c>
    </row>
    <row r="8" ht="7.5" customHeight="1" s="34">
      <c r="A8" s="58" t="n"/>
      <c r="B8" s="59" t="n"/>
      <c r="C8" s="58" t="n"/>
      <c r="D8" s="58" t="n"/>
      <c r="E8" s="58" t="n"/>
      <c r="F8" s="58" t="n"/>
      <c r="G8" s="58" t="n"/>
      <c r="I8" s="60" t="n"/>
      <c r="J8" s="61" t="n"/>
      <c r="K8" s="61" t="n"/>
      <c r="L8" s="61" t="n"/>
      <c r="M8" s="62" t="n"/>
    </row>
    <row r="9" ht="15.75" customHeight="1" s="34">
      <c r="A9" s="63" t="n">
        <v>2</v>
      </c>
      <c r="B9" s="64" t="inlineStr">
        <is>
          <t>Тормозные колодки передние Toyota Camry</t>
        </is>
      </c>
      <c r="C9" s="65" t="inlineStr">
        <is>
          <t>04465-33471</t>
        </is>
      </c>
      <c r="D9" s="66" t="n">
        <v>3450</v>
      </c>
      <c r="E9" s="66" t="n">
        <v>3200</v>
      </c>
      <c r="F9" s="66" t="n">
        <v>3380</v>
      </c>
      <c r="G9" s="65" t="n">
        <v>6400</v>
      </c>
      <c r="I9" s="67" t="inlineStr">
        <is>
          <t>Akebono AN-654K</t>
        </is>
      </c>
      <c r="J9" s="68" t="n">
        <v>2800</v>
      </c>
      <c r="K9" s="68" t="n">
        <v>2650</v>
      </c>
      <c r="L9" s="68" t="n">
        <v>2700</v>
      </c>
      <c r="M9" s="69" t="n">
        <v>5300</v>
      </c>
    </row>
    <row r="10" ht="16.5" customHeight="1" s="34">
      <c r="A10" s="53" t="n"/>
      <c r="B10" s="53" t="n"/>
      <c r="C10" s="53" t="n"/>
      <c r="D10" s="53" t="n"/>
      <c r="E10" s="53" t="n"/>
      <c r="F10" s="53" t="n"/>
      <c r="G10" s="53" t="n"/>
      <c r="I10" s="70" t="inlineStr">
        <is>
          <t>NiBK PN1522</t>
        </is>
      </c>
      <c r="J10" s="71" t="n">
        <v>2400</v>
      </c>
      <c r="K10" s="71" t="n">
        <v>2200</v>
      </c>
      <c r="L10" s="71" t="n">
        <v>2300</v>
      </c>
      <c r="M10" s="72" t="n">
        <v>4400</v>
      </c>
    </row>
    <row r="11" ht="15.75" customHeight="1" s="34">
      <c r="A11" s="57" t="n"/>
      <c r="B11" s="57" t="n"/>
      <c r="C11" s="57" t="n"/>
      <c r="D11" s="57" t="n"/>
      <c r="E11" s="57" t="n"/>
      <c r="F11" s="57" t="n"/>
      <c r="G11" s="57" t="n"/>
      <c r="I11" s="67" t="inlineStr">
        <is>
          <t>Kashiyama D2227</t>
        </is>
      </c>
      <c r="J11" s="68" t="n">
        <v>2100</v>
      </c>
      <c r="K11" s="68" t="n">
        <v>1950</v>
      </c>
      <c r="L11" s="68" t="n">
        <v>2000</v>
      </c>
      <c r="M11" s="69" t="n">
        <v>3900</v>
      </c>
    </row>
    <row r="12" ht="7.5" customHeight="1" s="34">
      <c r="A12" s="73" t="n"/>
      <c r="B12" s="74" t="n"/>
      <c r="C12" s="73" t="n"/>
      <c r="D12" s="73" t="n"/>
      <c r="E12" s="73" t="n"/>
      <c r="F12" s="73" t="n"/>
      <c r="G12" s="73" t="n"/>
      <c r="I12" s="75" t="n"/>
      <c r="J12" s="76" t="n"/>
      <c r="K12" s="76" t="n"/>
      <c r="L12" s="76" t="n"/>
      <c r="M12" s="77" t="n"/>
    </row>
    <row r="13" ht="15.75" customHeight="1" s="34">
      <c r="A13" s="78" t="n">
        <v>3</v>
      </c>
      <c r="B13" s="79" t="inlineStr">
        <is>
          <t>Масляный фильтр ДВС Toyota 1.8L/2.0L</t>
        </is>
      </c>
      <c r="C13" s="80" t="inlineStr">
        <is>
          <t>90915-YZZD4</t>
        </is>
      </c>
      <c r="D13" s="81" t="n">
        <v>720</v>
      </c>
      <c r="E13" s="81" t="n">
        <v>650</v>
      </c>
      <c r="F13" s="81" t="n">
        <v>690</v>
      </c>
      <c r="G13" s="82" t="n">
        <v>2600</v>
      </c>
      <c r="I13" s="67" t="inlineStr">
        <is>
          <t>MANN-FILTER W68/3</t>
        </is>
      </c>
      <c r="J13" s="68" t="n">
        <v>550</v>
      </c>
      <c r="K13" s="68" t="n">
        <v>490</v>
      </c>
      <c r="L13" s="68" t="n">
        <v>510</v>
      </c>
      <c r="M13" s="69" t="n">
        <v>1960</v>
      </c>
    </row>
    <row r="14" ht="16.5" customHeight="1" s="34">
      <c r="A14" s="53" t="n"/>
      <c r="B14" s="53" t="n"/>
      <c r="C14" s="53" t="n"/>
      <c r="D14" s="53" t="n"/>
      <c r="E14" s="53" t="n"/>
      <c r="F14" s="53" t="n"/>
      <c r="G14" s="53" t="n"/>
      <c r="I14" s="70" t="inlineStr">
        <is>
          <t>VIC C-110</t>
        </is>
      </c>
      <c r="J14" s="71" t="n">
        <v>480</v>
      </c>
      <c r="K14" s="71" t="n">
        <v>420</v>
      </c>
      <c r="L14" s="71" t="n">
        <v>450</v>
      </c>
      <c r="M14" s="72" t="n">
        <v>1680</v>
      </c>
    </row>
    <row r="15" ht="15.75" customHeight="1" s="34">
      <c r="A15" s="57" t="n"/>
      <c r="B15" s="57" t="n"/>
      <c r="C15" s="57" t="n"/>
      <c r="D15" s="57" t="n"/>
      <c r="E15" s="57" t="n"/>
      <c r="F15" s="57" t="n"/>
      <c r="G15" s="57" t="n"/>
      <c r="I15" s="67" t="inlineStr">
        <is>
          <t>Filtron OP570</t>
        </is>
      </c>
      <c r="J15" s="68" t="n">
        <v>420</v>
      </c>
      <c r="K15" s="68" t="n">
        <v>380</v>
      </c>
      <c r="L15" s="68" t="n">
        <v>390</v>
      </c>
      <c r="M15" s="69" t="n">
        <v>1520</v>
      </c>
    </row>
    <row r="16" ht="7.5" customHeight="1" s="34">
      <c r="A16" s="73" t="n"/>
      <c r="B16" s="74" t="n"/>
      <c r="C16" s="73" t="n"/>
      <c r="D16" s="73" t="n"/>
      <c r="E16" s="73" t="n"/>
      <c r="F16" s="73" t="n"/>
      <c r="G16" s="73" t="n"/>
      <c r="I16" s="75" t="n"/>
      <c r="J16" s="76" t="n"/>
      <c r="K16" s="76" t="n"/>
      <c r="L16" s="76" t="n"/>
      <c r="M16" s="77" t="n"/>
    </row>
    <row r="17" ht="24" customHeight="1" s="34">
      <c r="A17" s="83" t="inlineStr"/>
      <c r="B17" s="84" t="n"/>
      <c r="C17" s="84" t="n"/>
      <c r="D17" s="84" t="n"/>
      <c r="E17" s="84" t="n"/>
      <c r="F17" s="85" t="n"/>
      <c r="G17" s="86">
        <f>SUM(G5,G9,G13)</f>
        <v/>
      </c>
      <c r="H17" s="33" t="inlineStr"/>
      <c r="I17" s="87" t="inlineStr"/>
      <c r="J17" s="88" t="inlineStr">
        <is>
          <t>-</t>
        </is>
      </c>
      <c r="K17" s="88" t="inlineStr">
        <is>
          <t>-</t>
        </is>
      </c>
      <c r="L17" s="88" t="inlineStr">
        <is>
          <t>-</t>
        </is>
      </c>
      <c r="M17" s="86">
        <f>SUM(M5:M15)</f>
        <v/>
      </c>
    </row>
    <row r="18" ht="16.5" customHeight="1" s="34">
      <c r="A18" s="53" t="n"/>
      <c r="B18" s="53" t="n"/>
      <c r="C18" s="53" t="n"/>
      <c r="D18" s="53" t="n"/>
      <c r="E18" s="53" t="n"/>
      <c r="F18" s="53" t="n"/>
      <c r="G18" s="53" t="n"/>
      <c r="I18" s="54" t="inlineStr">
        <is>
          <t>-</t>
        </is>
      </c>
      <c r="J18" s="89" t="inlineStr">
        <is>
          <t>-</t>
        </is>
      </c>
      <c r="K18" s="89" t="inlineStr">
        <is>
          <t>-</t>
        </is>
      </c>
      <c r="L18" s="89" t="inlineStr">
        <is>
          <t>-</t>
        </is>
      </c>
      <c r="M18" s="56" t="inlineStr">
        <is>
          <t>-</t>
        </is>
      </c>
    </row>
    <row r="19" ht="15.75" customHeight="1" s="34">
      <c r="A19" s="57" t="n"/>
      <c r="B19" s="57" t="n"/>
      <c r="C19" s="57" t="n"/>
      <c r="D19" s="57" t="n"/>
      <c r="E19" s="57" t="n"/>
      <c r="F19" s="57" t="n"/>
      <c r="G19" s="57" t="n"/>
      <c r="I19" s="50" t="inlineStr">
        <is>
          <t>-</t>
        </is>
      </c>
      <c r="J19" s="88" t="inlineStr">
        <is>
          <t>-</t>
        </is>
      </c>
      <c r="K19" s="88" t="inlineStr">
        <is>
          <t>-</t>
        </is>
      </c>
      <c r="L19" s="88" t="inlineStr">
        <is>
          <t>-</t>
        </is>
      </c>
      <c r="M19" s="52" t="inlineStr">
        <is>
          <t>-</t>
        </is>
      </c>
    </row>
    <row r="20" ht="7.5" customHeight="1" s="34">
      <c r="A20" s="58" t="n"/>
      <c r="B20" s="59" t="n"/>
      <c r="C20" s="58" t="n"/>
      <c r="D20" s="58" t="n"/>
      <c r="E20" s="58" t="n"/>
      <c r="F20" s="58" t="n"/>
      <c r="G20" s="58" t="n"/>
      <c r="I20" s="60" t="n"/>
      <c r="J20" s="61" t="n"/>
      <c r="K20" s="61" t="n"/>
      <c r="L20" s="61" t="n"/>
      <c r="M20" s="62" t="n"/>
    </row>
    <row r="21" ht="24" customHeight="1" s="34">
      <c r="A21" s="90" t="inlineStr">
        <is>
          <t xml:space="preserve">ИТОГО ПО ДОГОВОРУ: </t>
        </is>
      </c>
      <c r="G21" s="91">
        <f>SUM(G5,G9,G13,G17)</f>
        <v/>
      </c>
      <c r="I21" s="33" t="n"/>
      <c r="L21" s="90" t="inlineStr">
        <is>
          <t xml:space="preserve">ИТОГО АНАЛОГИ: </t>
        </is>
      </c>
      <c r="M21" s="91">
        <f>SUM(M5:M19)</f>
        <v/>
      </c>
    </row>
  </sheetData>
  <mergeCells count="43">
    <mergeCell ref="D2:F2"/>
    <mergeCell ref="F17:F19"/>
    <mergeCell ref="F13:F15"/>
    <mergeCell ref="H17:H19"/>
    <mergeCell ref="D5:D7"/>
    <mergeCell ref="A17:A19"/>
    <mergeCell ref="C17:C19"/>
    <mergeCell ref="M2:M3"/>
    <mergeCell ref="B2:B3"/>
    <mergeCell ref="A5:A7"/>
    <mergeCell ref="G5:G7"/>
    <mergeCell ref="H13:H15"/>
    <mergeCell ref="A21:F21"/>
    <mergeCell ref="A13:A15"/>
    <mergeCell ref="B5:B7"/>
    <mergeCell ref="D9:D11"/>
    <mergeCell ref="C13:C15"/>
    <mergeCell ref="F9:F11"/>
    <mergeCell ref="G9:G11"/>
    <mergeCell ref="A17:F17"/>
    <mergeCell ref="A2:A3"/>
    <mergeCell ref="C2:C3"/>
    <mergeCell ref="H2:H7"/>
    <mergeCell ref="A9:A11"/>
    <mergeCell ref="J2:L2"/>
    <mergeCell ref="E17:E19"/>
    <mergeCell ref="A1:M1"/>
    <mergeCell ref="G17:G19"/>
    <mergeCell ref="G13:G15"/>
    <mergeCell ref="C5:C7"/>
    <mergeCell ref="D17:D19"/>
    <mergeCell ref="E5:E7"/>
    <mergeCell ref="F5:F7"/>
    <mergeCell ref="E13:E15"/>
    <mergeCell ref="H9:H11"/>
    <mergeCell ref="B17:B19"/>
    <mergeCell ref="B13:B15"/>
    <mergeCell ref="D13:D15"/>
    <mergeCell ref="B9:B11"/>
    <mergeCell ref="G2:G3"/>
    <mergeCell ref="C9:C11"/>
    <mergeCell ref="I2:I3"/>
    <mergeCell ref="E9:E11"/>
  </mergeCells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F5" r:id="rId3"/>
    <hyperlink xmlns:r="http://schemas.openxmlformats.org/officeDocument/2006/relationships" ref="J5" r:id="rId4"/>
    <hyperlink xmlns:r="http://schemas.openxmlformats.org/officeDocument/2006/relationships" ref="K5" r:id="rId5"/>
    <hyperlink xmlns:r="http://schemas.openxmlformats.org/officeDocument/2006/relationships" ref="L5" r:id="rId6"/>
    <hyperlink xmlns:r="http://schemas.openxmlformats.org/officeDocument/2006/relationships" ref="J6" r:id="rId7"/>
    <hyperlink xmlns:r="http://schemas.openxmlformats.org/officeDocument/2006/relationships" ref="K6" r:id="rId8"/>
    <hyperlink xmlns:r="http://schemas.openxmlformats.org/officeDocument/2006/relationships" ref="L6" r:id="rId9"/>
    <hyperlink xmlns:r="http://schemas.openxmlformats.org/officeDocument/2006/relationships" ref="J7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F9" r:id="rId15"/>
    <hyperlink xmlns:r="http://schemas.openxmlformats.org/officeDocument/2006/relationships" ref="J9" r:id="rId16"/>
    <hyperlink xmlns:r="http://schemas.openxmlformats.org/officeDocument/2006/relationships" ref="K9" r:id="rId17"/>
    <hyperlink xmlns:r="http://schemas.openxmlformats.org/officeDocument/2006/relationships" ref="L9" r:id="rId18"/>
    <hyperlink xmlns:r="http://schemas.openxmlformats.org/officeDocument/2006/relationships" ref="J10" r:id="rId19"/>
    <hyperlink xmlns:r="http://schemas.openxmlformats.org/officeDocument/2006/relationships" ref="K10" r:id="rId20"/>
    <hyperlink xmlns:r="http://schemas.openxmlformats.org/officeDocument/2006/relationships" ref="L10" r:id="rId21"/>
    <hyperlink xmlns:r="http://schemas.openxmlformats.org/officeDocument/2006/relationships" ref="J11" r:id="rId22"/>
    <hyperlink xmlns:r="http://schemas.openxmlformats.org/officeDocument/2006/relationships" ref="K11" r:id="rId23"/>
    <hyperlink xmlns:r="http://schemas.openxmlformats.org/officeDocument/2006/relationships" ref="L11" r:id="rId24"/>
    <hyperlink xmlns:r="http://schemas.openxmlformats.org/officeDocument/2006/relationships" ref="D13" r:id="rId25"/>
    <hyperlink xmlns:r="http://schemas.openxmlformats.org/officeDocument/2006/relationships" ref="E13" r:id="rId26"/>
    <hyperlink xmlns:r="http://schemas.openxmlformats.org/officeDocument/2006/relationships" ref="F13" r:id="rId27"/>
    <hyperlink xmlns:r="http://schemas.openxmlformats.org/officeDocument/2006/relationships" ref="J13" r:id="rId28"/>
    <hyperlink xmlns:r="http://schemas.openxmlformats.org/officeDocument/2006/relationships" ref="K13" r:id="rId29"/>
    <hyperlink xmlns:r="http://schemas.openxmlformats.org/officeDocument/2006/relationships" ref="L13" r:id="rId30"/>
    <hyperlink xmlns:r="http://schemas.openxmlformats.org/officeDocument/2006/relationships" ref="J14" r:id="rId31"/>
    <hyperlink xmlns:r="http://schemas.openxmlformats.org/officeDocument/2006/relationships" ref="K14" r:id="rId32"/>
    <hyperlink xmlns:r="http://schemas.openxmlformats.org/officeDocument/2006/relationships" ref="L14" r:id="rId33"/>
    <hyperlink xmlns:r="http://schemas.openxmlformats.org/officeDocument/2006/relationships" ref="J15" r:id="rId34"/>
    <hyperlink xmlns:r="http://schemas.openxmlformats.org/officeDocument/2006/relationships" ref="K15" r:id="rId35"/>
    <hyperlink xmlns:r="http://schemas.openxmlformats.org/officeDocument/2006/relationships" ref="L15" r:id="rId36"/>
    <hyperlink xmlns:r="http://schemas.openxmlformats.org/officeDocument/2006/relationships" ref="J17" display="-" r:id="rId37"/>
    <hyperlink xmlns:r="http://schemas.openxmlformats.org/officeDocument/2006/relationships" ref="K17" display="-" r:id="rId38"/>
    <hyperlink xmlns:r="http://schemas.openxmlformats.org/officeDocument/2006/relationships" ref="L17" display="-" r:id="rId39"/>
    <hyperlink xmlns:r="http://schemas.openxmlformats.org/officeDocument/2006/relationships" ref="J18" display="-" r:id="rId40"/>
    <hyperlink xmlns:r="http://schemas.openxmlformats.org/officeDocument/2006/relationships" ref="K18" display="-" r:id="rId41"/>
    <hyperlink xmlns:r="http://schemas.openxmlformats.org/officeDocument/2006/relationships" ref="L18" display="-" r:id="rId42"/>
    <hyperlink xmlns:r="http://schemas.openxmlformats.org/officeDocument/2006/relationships" ref="J19" display="-" r:id="rId43"/>
    <hyperlink xmlns:r="http://schemas.openxmlformats.org/officeDocument/2006/relationships" ref="K19" display="-" r:id="rId44"/>
    <hyperlink xmlns:r="http://schemas.openxmlformats.org/officeDocument/2006/relationships" ref="L19" display="-" r:id="rId45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2026-07-28T19:00:50Z</dcterms:created>
  <dcterms:modified xsi:type="dcterms:W3CDTF">2026-08-05T18:01:57Z</dcterms:modified>
  <cp:revision>7</cp:revision>
</cp:coreProperties>
</file>